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huhu\Downloads\"/>
    </mc:Choice>
  </mc:AlternateContent>
  <xr:revisionPtr revIDLastSave="0" documentId="13_ncr:1_{9A24025D-EB99-44F8-934D-2F287A06BF0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est Cases" sheetId="1" r:id="rId1"/>
    <sheet name="Summary" sheetId="2" r:id="rId2"/>
  </sheets>
  <definedNames>
    <definedName name="_xlnm._FilterDatabase" localSheetId="0" hidden="1">'Test Cases'!$A$3:$F$59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B5" i="2"/>
  <c r="B4" i="2"/>
  <c r="B3" i="2"/>
</calcChain>
</file>

<file path=xl/sharedStrings.xml><?xml version="1.0" encoding="utf-8"?>
<sst xmlns="http://schemas.openxmlformats.org/spreadsheetml/2006/main" count="321" uniqueCount="274">
  <si>
    <t>FLUX — Multi File Downloader  |  Test Case Document</t>
  </si>
  <si>
    <t>App: FLUX Client GUI + Server Engine  ·  Protocol: TCP/SSL  ·  Framework: PySide6  ·  Language: Python 3</t>
  </si>
  <si>
    <t>No</t>
  </si>
  <si>
    <t>Test Name</t>
  </si>
  <si>
    <t>Description</t>
  </si>
  <si>
    <t>Input / Steps</t>
  </si>
  <si>
    <t>Expected Result</t>
  </si>
  <si>
    <t>Status</t>
  </si>
  <si>
    <t>🖥 CLIENT — File List &amp; Search</t>
  </si>
  <si>
    <t>TC-01</t>
  </si>
  <si>
    <t>App khởi động thành công</t>
  </si>
  <si>
    <t>Kiểm tra client GUI mở ra và tự động tải danh sách file từ server.</t>
  </si>
  <si>
    <t>1. Đảm bảo server đang chạy
2. cd Code/
3. Chạy: python -m client</t>
  </si>
  <si>
    <t>Cửa sổ 'FLUX — Multi File Downloader' hiện ra, panel SERVER FILES hiển thị danh sách file (vd: duck.jpg, test1.txt, test2.txt). Status bar không hiển thị lỗi.</t>
  </si>
  <si>
    <t>Chưa test</t>
  </si>
  <si>
    <t>TC-02</t>
  </si>
  <si>
    <t>Hiển thị đúng tên và kích thước file</t>
  </si>
  <si>
    <t>Kiểm tra cột Filename hiện icon + tên, cột Size hiện đúng định dạng (B / KB / MB).</t>
  </si>
  <si>
    <t>1. Server có sẵn 3 file
2. Khởi động client
3. Quan sát bảng SERVER FILES</t>
  </si>
  <si>
    <t>duck.jpg → icon 🖼, Size = 16.4 KB
test2.txt → icon 📝, Size = 12 B
test1.txt → icon 📝, Size = 13 B
Nhãn đếm file 'X files' đúng số lượng.</t>
  </si>
  <si>
    <t>TC-03</t>
  </si>
  <si>
    <t>Nhãn đếm file cập nhật đúng</t>
  </si>
  <si>
    <t>Kiểm tra label 'X files' ở góc phải header hiển thị đúng số file.</t>
  </si>
  <si>
    <t>1. Server có 3 file
2. Mở client</t>
  </si>
  <si>
    <t>Label hiển thị '3 files'.</t>
  </si>
  <si>
    <t>TC-04</t>
  </si>
  <si>
    <t>Nút Refresh tải lại danh sách</t>
  </si>
  <si>
    <t>Kiểm tra nút '↻ Refresh' gửi lại lệnh LIST đến server và cập nhật UI.</t>
  </si>
  <si>
    <t>1. Client đang chạy
2. Thêm file mới vào server/file_storage/
3. Click '↻ Refresh'</t>
  </si>
  <si>
    <t>Nút chuyển text 'Loading...' và disabled trong khi chờ. Sau khi nhận phản hồi, danh sách cập nhật với file mới, nút trở về '↻ Refresh'.</t>
  </si>
  <si>
    <t>TC-05</t>
  </si>
  <si>
    <t>Tìm kiếm lọc đúng file theo tên</t>
  </si>
  <si>
    <t>Nhập từ khóa vào ô Search, danh sách chỉ hiện file có chứa từ khóa đó.</t>
  </si>
  <si>
    <t>1. Nhập 'test' vào ô Search files...
2. Quan sát danh sách</t>
  </si>
  <si>
    <t>Chỉ hiển thị test1.txt và test2.txt. duck.jpg bị ẩn. Nhãn đếm cập nhật thành '2 files'.</t>
  </si>
  <si>
    <t>TC-06</t>
  </si>
  <si>
    <t>Tìm kiếm không phân biệt hoa thường</t>
  </si>
  <si>
    <t>Kiểm tra filter dùng str.lower() nên không phân biệt case.</t>
  </si>
  <si>
    <t>1. Nhập 'DUCK' vào ô Search
2. Quan sát kết quả</t>
  </si>
  <si>
    <t>duck.jpg vẫn hiển thị. Tìm kiếm hoạt động bình thường.</t>
  </si>
  <si>
    <t>TC-07</t>
  </si>
  <si>
    <t>Xóa từ khóa → hiển thị lại tất cả file</t>
  </si>
  <si>
    <t>Khi xóa hết nội dung ô tìm kiếm, toàn bộ file phải hiện lại.</t>
  </si>
  <si>
    <t>1. Nhập 'test' vào Search
2. Bấm Backspace xóa hết
3. Quan sát danh sách</t>
  </si>
  <si>
    <t>Tất cả file hiện đủ, nhãn trở về '3 files'.</t>
  </si>
  <si>
    <t>TC-08</t>
  </si>
  <si>
    <t>Tìm kiếm không có kết quả</t>
  </si>
  <si>
    <t>Nhập từ khóa không khớp file nào.</t>
  </si>
  <si>
    <t>1. Nhập 'xyz_khong_co' vào ô Search</t>
  </si>
  <si>
    <t>Danh sách hiển thị 'No files available on server' hoặc trống, nhãn '0 files'.</t>
  </si>
  <si>
    <t>TC-09</t>
  </si>
  <si>
    <t>Sort cột Filename tăng dần / giảm dần</t>
  </si>
  <si>
    <t>Click vào header 'Filename' để sắp xếp A→Z, click lại để Z→A. Dùng SortableTreeItem.</t>
  </si>
  <si>
    <t>1. Click header 'Filename' lần 1
2. Click header 'Filename' lần 2</t>
  </si>
  <si>
    <t>Lần 1: danh sách sắp xếp A→Z. Lần 2: Z→A. Mũi tên ▾/▴ trên header thay đổi theo chiều sort.</t>
  </si>
  <si>
    <t>TC-10</t>
  </si>
  <si>
    <t>Sort cột Size theo byte thực (không phải text)</t>
  </si>
  <si>
    <t>Cột Size dùng SortableTreeItem với raw_value là int bytes, không sort theo chuỗi '16.4 KB'.</t>
  </si>
  <si>
    <t>1. Click header 'Size' lần 1
2. Click header 'Size' lần 2</t>
  </si>
  <si>
    <t>Lần 1: test2.txt (12 B) → test1.txt (13 B) → duck.jpg (16384 B). Lần 2: ngược lại.</t>
  </si>
  <si>
    <t>⬇ CLIENT — Download</t>
  </si>
  <si>
    <t>TC-11</t>
  </si>
  <si>
    <t>Chọn 1 file và bấm Download Selected</t>
  </si>
  <si>
    <t>Kiểm tra luồng download cơ bản: chọn file → click nút → widget xuất hiện.</t>
  </si>
  <si>
    <t>1. Click chọn duck.jpg
2. Click 'Download Selected'</t>
  </si>
  <si>
    <t>Widget download xuất hiện trong panel DOWNLOADS với tên 'duck.jpg', progress bar = 0%, trạng thái 'Queued' → 'X%' → '✓ Done'. File được lưu vào client/downloads/.</t>
  </si>
  <si>
    <t>TC-12</t>
  </si>
  <si>
    <t>Double-click file để download ngay</t>
  </si>
  <si>
    <t>itemDoubleClicked signal gọi _on_double_click → _download_file.</t>
  </si>
  <si>
    <t>1. Double-click vào duck.jpg</t>
  </si>
  <si>
    <t>Widget download xuất hiện ngay, download bắt đầu mà không cần bấm nút.</t>
  </si>
  <si>
    <t>TC-13</t>
  </si>
  <si>
    <t>Download nhiều file cùng lúc (multi-select)</t>
  </si>
  <si>
    <t>Ctrl+Click chọn nhiều file, mỗi file chạy một DownloadThread riêng.</t>
  </si>
  <si>
    <t>1. Click test1.txt
2. Ctrl+Click test2.txt
3. Click 'Download Selected'</t>
  </si>
  <si>
    <t>Hai widget download xuất hiện đồng thời, tiến trình độc lập. Cả hai hoàn thành với '✓ Done'.</t>
  </si>
  <si>
    <t>TC-14</t>
  </si>
  <si>
    <t>Bấm Download khi chưa chọn file nào</t>
  </si>
  <si>
    <t>Kiểm tra guard: _get_selected_filenames() trả về rỗng.</t>
  </si>
  <si>
    <t>1. Không click chọn file nào
2. Click 'Download Selected'</t>
  </si>
  <si>
    <t>Hiển thị dialog QMessageBox cảnh báo 'Please select at least one file to download.' Không tạo widget download.</t>
  </si>
  <si>
    <t>TC-15</t>
  </si>
  <si>
    <t>Download file đang trong hàng đợi</t>
  </si>
  <si>
    <t>Guard kiểm tra _download_widgets có chứa filename chưa → báo trùng.</t>
  </si>
  <si>
    <t>1. Bắt đầu download duck.jpg
2. Trong khi đang tải, chọn duck.jpg
3. Click Download Selected</t>
  </si>
  <si>
    <t>Status bar hiện '{filename} is already in the download queue.' Không tạo widget thứ hai.</t>
  </si>
  <si>
    <t>TC-16</t>
  </si>
  <si>
    <t>Progress bar và thông tin tốc độ cập nhật</t>
  </si>
  <si>
    <t>DownloadThread.progress signal → DownloadItemWidget.set_progress().</t>
  </si>
  <si>
    <t>1. Download file lớn (&gt;100KB)
2. Quan sát widget download</t>
  </si>
  <si>
    <t>Progress bar tăng dần, status label hiện 'X%', info label hiện tốc độ 'X.X KB/s' và ETA 'ETA: Xs'.</t>
  </si>
  <si>
    <t>TC-17</t>
  </si>
  <si>
    <t>Hủy download đang tiến hành</t>
  </si>
  <si>
    <t>Click ✕ → cancel_requested signal → _cancel_download() → thread.cancel().</t>
  </si>
  <si>
    <t>1. Bắt đầu download duck.jpg
2. Click ✕ trên widget download</t>
  </si>
  <si>
    <t>Download dừng lại. Widget hiện '— Cancelled' (status), 'Cancelled by user' (info). Nút ✕ ẩn đi. File chưa hoàn chỉnh trong downloads/.</t>
  </si>
  <si>
    <t>TC-18</t>
  </si>
  <si>
    <t>File tải về được lưu đúng tên</t>
  </si>
  <si>
    <t>client.py dùng {base}_downloaded{ext} để đặt tên file tránh ghi đè.</t>
  </si>
  <si>
    <t>1. Download duck.jpg</t>
  </si>
  <si>
    <t>File được lưu tại client/downloads/duck_downloaded.jpg.</t>
  </si>
  <si>
    <t>TC-19</t>
  </si>
  <si>
    <t>Download file lần 2 không ghi đè file cũ</t>
  </si>
  <si>
    <t>Vòng lặp counter trong download_file() tạo tên khác nếu file tồn tại.</t>
  </si>
  <si>
    <t>1. Download duck.jpg lần 1
2. Download duck.jpg lần 2</t>
  </si>
  <si>
    <t>File lần 2 lưu là duck_downloaded_1.jpg, không ghi đè duck_downloaded.jpg.</t>
  </si>
  <si>
    <t>TC-20</t>
  </si>
  <si>
    <t>Nút Clear xóa toàn bộ panel Downloads</t>
  </si>
  <si>
    <t>Click Clear → xóa tất cả widget khỏi _download_widgets và layout.</t>
  </si>
  <si>
    <t>1. Download ít nhất 1 file
2. Click 'Clear'</t>
  </si>
  <si>
    <t>Tất cả widget biến mất khỏi panel DOWNLOADS. Status bar hiện 'Download queue cleared'.</t>
  </si>
  <si>
    <t>TC-21</t>
  </si>
  <si>
    <t>Kết nối server thất bại khi Refresh</t>
  </si>
  <si>
    <t>FetchFilesThread.error_occurred signal → _on_fetch_error().</t>
  </si>
  <si>
    <t>1. Tắt server
2. Click '↻ Refresh' trong client</t>
  </si>
  <si>
    <t>Danh sách hiện thông báo lỗi kết nối. Status bar hiện lỗi cụ thể (vd: Connection refused). Không crash app.</t>
  </si>
  <si>
    <t>🖱 CLIENT — Context Menu &amp; UI Controls</t>
  </si>
  <si>
    <t>TC-22</t>
  </si>
  <si>
    <t>Context menu xuất hiện khi right-click file</t>
  </si>
  <si>
    <t>customContextMenuRequested → show_file_context_menu().</t>
  </si>
  <si>
    <t>1. Right-click vào duck.jpg</t>
  </si>
  <si>
    <t>Menu xuất hiện với 3 mục: '⬇ Download', '📋 Copy filename', '📂 Open downloads folder'.</t>
  </si>
  <si>
    <t>TC-23</t>
  </si>
  <si>
    <t>Menu → Download khởi động tải file</t>
  </si>
  <si>
    <t>download_action.triggered → on_download(filename).</t>
  </si>
  <si>
    <t>1. Right-click duck.jpg
2. Chọn '⬇ Download'</t>
  </si>
  <si>
    <t>Widget download xuất hiện, file bắt đầu tải — tương đương chọn file rồi click nút Download.</t>
  </si>
  <si>
    <t>TC-24</t>
  </si>
  <si>
    <t>Menu → Copy filename vào clipboard</t>
  </si>
  <si>
    <t>copy_action → QApplication.clipboard().setText(filename).</t>
  </si>
  <si>
    <t>1. Right-click duck.jpg
2. Chọn '📋 Copy filename'
3. Paste vào Notepad</t>
  </si>
  <si>
    <t>Clipboard chứa chính xác chuỗi 'duck.jpg'.</t>
  </si>
  <si>
    <t>TC-25</t>
  </si>
  <si>
    <t>Menu → Mở thư mục downloads</t>
  </si>
  <si>
    <t>open_action → open_downloads_folder() → os.startfile (Win) hoặc subprocess.</t>
  </si>
  <si>
    <t>1. Right-click duck.jpg
2. Chọn '📂 Open downloads folder'</t>
  </si>
  <si>
    <t>File Explorer/Finder mở thư mục Code/client/downloads/.</t>
  </si>
  <si>
    <t>🖧 SERVER — Engine</t>
  </si>
  <si>
    <t>TC-26</t>
  </si>
  <si>
    <t>Server khởi động lắng nghe port 5000</t>
  </si>
  <si>
    <t>ServerEngine.start() bind socket 0.0.0.0:5000, wrap SSL.</t>
  </si>
  <si>
    <t>1. cd Code/
2. python -m server</t>
  </si>
  <si>
    <t>Log hiện '[SERVER ] Listening on 0.0.0.0:5000'. Server sẵn sàng nhận kết nối.</t>
  </si>
  <si>
    <t>TC-27</t>
  </si>
  <si>
    <t>Lệnh LIST trả về danh sách file đúng định dạng</t>
  </si>
  <si>
    <t>Server đọc file_storage, trả về protocol.encode_list(). Format: LIST|name:size|...</t>
  </si>
  <si>
    <t>1. Client gửi 'LIST\n'
2. Nhận phản hồi</t>
  </si>
  <si>
    <t>Server trả về 'LIST|duck.jpg:16845|test1.txt:13|test2.txt:12\n' (kích thước thực tế).</t>
  </si>
  <si>
    <t>TC-28</t>
  </si>
  <si>
    <t>Lệnh LIST khi server không có file</t>
  </si>
  <si>
    <t>Nếu os.listdir(FILE_DIR) rỗng → encode_list([]) → 'EMPTY'.</t>
  </si>
  <si>
    <t>1. Xóa hết file trong server/file_storage/
2. Client gửi LIST</t>
  </si>
  <si>
    <t>Server trả về 'EMPTY\n'.</t>
  </si>
  <si>
    <t>TC-29</t>
  </si>
  <si>
    <t>Lệnh GET tải file thành công</t>
  </si>
  <si>
    <t>Server gửi header FILE|name|size rồi binary data theo CHUNK_SIZE=4096.</t>
  </si>
  <si>
    <t>1. Client gửi 'GET|duck.jpg\n'
2. Nhận header và data</t>
  </si>
  <si>
    <t>Header: 'FILE|duck.jpg|16845\n'. Tiếp theo là 16845 bytes binary. File nhận đủ và toàn vẹn.</t>
  </si>
  <si>
    <t>TC-30</t>
  </si>
  <si>
    <t>GET file không tồn tại trả về ERROR</t>
  </si>
  <si>
    <t>os.path.exists() → False → encode_error('File not found').</t>
  </si>
  <si>
    <t>1. Client gửi 'GET|khong_co.pdf\n'</t>
  </si>
  <si>
    <t>Server trả về 'ERROR|File not found\n'.</t>
  </si>
  <si>
    <t>TC-31</t>
  </si>
  <si>
    <t>GET với tên file rỗng</t>
  </si>
  <si>
    <t>filename = '' → os.path.basename('') = '' → ERROR.</t>
  </si>
  <si>
    <t>1. Client gửi 'GET|\n'</t>
  </si>
  <si>
    <t>Server trả về 'ERROR|File not found\n' hoặc 'ERROR|Invalid filename\n'.</t>
  </si>
  <si>
    <t>TC-32</t>
  </si>
  <si>
    <t>Lệnh không hợp lệ</t>
  </si>
  <si>
    <t>Command không phải LIST/GET → server gửi ERROR hoặc đóng kết nối.</t>
  </si>
  <si>
    <t>1. Client gửi 'GARBAGE\n'</t>
  </si>
  <si>
    <t>Server trả về 'ERROR|Unknown command\n' hoặc đóng kết nối, không crash.</t>
  </si>
  <si>
    <t>TC-33</t>
  </si>
  <si>
    <t>Server không crash khi client ngắt giữa chừng</t>
  </si>
  <si>
    <t>except Exception trong handle_client() → log và tiếp tục.</t>
  </si>
  <si>
    <t>1. Client bắt đầu GET file lớn
2. Đóng kết nối client giữa chừng
3. Thử kết nối client mới</t>
  </si>
  <si>
    <t>Server log 'Client disconnected' hoặc 'Connection reset'. Client mới kết nối và nhận LIST bình thường.</t>
  </si>
  <si>
    <t>TC-34</t>
  </si>
  <si>
    <t>Nhiều client kết nối đồng thời</t>
  </si>
  <si>
    <t>Mỗi kết nối chạy threading.Thread(target=handle_client). Kiểm tra concurrency.</t>
  </si>
  <si>
    <t>1. Chạy tests/stress_test.py (NUM_CLIENTS=25)
2. Quan sát kết quả</t>
  </si>
  <si>
    <t>Tất cả 25 client nhận phản hồi LIST và GET thành công. Server không deadlock hay crash.</t>
  </si>
  <si>
    <t>TC-35</t>
  </si>
  <si>
    <t>File được tải về toàn vẹn (checksum)</t>
  </si>
  <si>
    <t>So sánh MD5 file gốc và file sau khi download qua TCP/SSL.</t>
  </si>
  <si>
    <t>1. Download duck.jpg
2. python -c "import hashlib; print(hashlib.md5(open('...','rb').read()).hexdigest())" cho cả 2 file</t>
  </si>
  <si>
    <t>MD5 của duck_downloaded.jpg = MD5 của server/file_storage/duck.jpg.</t>
  </si>
  <si>
    <t>📊 SERVER — GUI Dashboard</t>
  </si>
  <si>
    <t>TC-36</t>
  </si>
  <si>
    <t>Server GUI khởi động đúng</t>
  </si>
  <si>
    <t>ServerGUI.__init__() tạo ServerEngine, build tabs Dashboard / Active Connections / Analytics.</t>
  </si>
  <si>
    <t>1. python -m server (với GUI)
2. Quan sát cửa sổ</t>
  </si>
  <si>
    <t>Cửa sổ 'FLUX — Server Administrator Console' mở. Status label hiện 'Server: Stopped', đèn đỏ.</t>
  </si>
  <si>
    <t>TC-37</t>
  </si>
  <si>
    <t>Nút Start Server</t>
  </si>
  <si>
    <t>Click Start → engine.start() → status callback cập nhật UI.</t>
  </si>
  <si>
    <t>1. Click '▶ Start Server'</t>
  </si>
  <si>
    <t>Status đổi 'Server: Running', đèn xanh sáng. Nút Start disabled, Stop enabled. Log hiện 'Listening on 0.0.0.0:5000'.</t>
  </si>
  <si>
    <t>TC-38</t>
  </si>
  <si>
    <t>Nút Stop Server</t>
  </si>
  <si>
    <t>Click Stop → engine.stop() → đóng socket, join threads.</t>
  </si>
  <si>
    <t>1. Server đang chạy
2. Click '■ Stop Server'</t>
  </si>
  <si>
    <t>Status đổi 'Server: Stopped', đèn đỏ. Nút Stop disabled, Start enabled. Client bị ngắt kết nối.</t>
  </si>
  <si>
    <t>TC-39</t>
  </si>
  <si>
    <t>Tab Active Connections hiển thị client</t>
  </si>
  <si>
    <t>Sau khi client kết nối, engine cập nhật active_clients dict và gọi status callback.</t>
  </si>
  <si>
    <t>1. Start server
2. Kết nối client
3. Chuyển tab '👥 Active Connections'</t>
  </si>
  <si>
    <t>Bảng hiện IP, Port, thời gian kết nối, trạng thái. Cập nhật realtime khi client kết nối / ngắt.</t>
  </si>
  <si>
    <t>TC-40</t>
  </si>
  <si>
    <t>Kick client ra khỏi server</t>
  </si>
  <si>
    <t>Chọn client → click Kick → engine đóng socket client đó.</t>
  </si>
  <si>
    <t>1. Client đang kết nối
2. Chọn client trong bảng
3. Click '⚠ Kick Selected Client'
4. Xác nhận</t>
  </si>
  <si>
    <t>Client bị ngắt kết nối, biến mất khỏi bảng. Log ghi sự kiện kick. Server tiếp tục chạy.</t>
  </si>
  <si>
    <t>TC-41</t>
  </si>
  <si>
    <t>Tab Analytics — Transaction Log</t>
  </si>
  <si>
    <t>Mỗi lần GET hoàn thành, engine ghi vào download_history.</t>
  </si>
  <si>
    <t>1. Client download 1 file
2. Chuyển tab '📈 Downloads &amp; Traffic Analytics'
3. Xem Transaction Log</t>
  </si>
  <si>
    <t>Bảng hiện: timestamp, IP client, tên file, kích thước, bytes sent, trạng thái Success.</t>
  </si>
  <si>
    <t>TC-42</t>
  </si>
  <si>
    <t>Popular Files tracking</t>
  </si>
  <si>
    <t>download_counts[filename] tăng sau mỗi GET thành công.</t>
  </si>
  <si>
    <t>1. Download duck.jpg 3 lần
2. Xem bảng Popular Files</t>
  </si>
  <si>
    <t>duck.jpg hiển thị Downloads = 3, chiếm vị trí đầu bảng.</t>
  </si>
  <si>
    <t>TC-43</t>
  </si>
  <si>
    <t>Core Metrics cập nhật realtime</t>
  </si>
  <si>
    <t>Speed thread tính current_upload_speed mỗi giây, status callback push về GUI.</t>
  </si>
  <si>
    <t>1. Start server
2. Client download file lớn
3. Quan sát Core Metrics</t>
  </si>
  <si>
    <t>Uptime tăng theo giây. Active Clients đúng số lượng. Upload Speed hiện KB/s hoặc MB/s. Total Bytes Sent tăng.</t>
  </si>
  <si>
    <t>TC-44</t>
  </si>
  <si>
    <t>Live Logger Console ghi log theo màu</t>
  </si>
  <si>
    <t>shared.utils.log() broadcast đến GUI handler → on_log_received() → append màu.</t>
  </si>
  <si>
    <t>1. Start server
2. Client gửi LIST rồi GET
3. Quan sát LIVE LOGGER CONSOLE</t>
  </si>
  <si>
    <t>Mỗi sự kiện (CONNECT, LIST, GET, DISCONNECT) được log với timestamp và màu phân loại.</t>
  </si>
  <si>
    <t>TC-45</t>
  </si>
  <si>
    <t>Nút Clear Console</t>
  </si>
  <si>
    <t>Click Clear → console.clear().</t>
  </si>
  <si>
    <t>1. Console có nhiều dòng log
2. Click 'Clear Console'</t>
  </si>
  <si>
    <t>Toàn bộ nội dung log bị xóa, console trống.</t>
  </si>
  <si>
    <t>⚠ EDGE CASES &amp; SECURITY</t>
  </si>
  <si>
    <t>TC-46</t>
  </si>
  <si>
    <t>Path traversal attack bị chặn</t>
  </si>
  <si>
    <t>os.path.basename() trong server lọc bỏ '../'. Đây là bảo mật quan trọng.</t>
  </si>
  <si>
    <t>1. Client gửi 'GET|../../etc/passwd\n'</t>
  </si>
  <si>
    <t>os.path.basename('../../etc/passwd') = 'passwd'. Server tìm 'passwd' trong file_storage → không có → 'ERROR|File not found'. Không truy cập được file ngoài storage.</t>
  </si>
  <si>
    <t>TC-47</t>
  </si>
  <si>
    <t>Buffer overflow bị chặn khi nhận line quá dài</t>
  </si>
  <si>
    <t>Connection.recv_line() kiểm tra len(buffer) &gt; MAX_BUFFER_SIZE=1_000_000.</t>
  </si>
  <si>
    <t>1. Gửi 2MB dữ liệu liên tục không có ký tự \n</t>
  </si>
  <si>
    <t>Server raise ValueError('Buffer overflow'), đóng kết nối client đó. Server tiếp tục chạy bình thường.</t>
  </si>
  <si>
    <t>TC-48</t>
  </si>
  <si>
    <t>Kết nối không dùng SSL bị từ chối</t>
  </si>
  <si>
    <t>Server wrap socket với SSL. Raw TCP không qua handshake SSL sẽ bị reject.</t>
  </si>
  <si>
    <t>1. Kết nối TCP thuần (không wrap SSL)
2. Gửi 'LIST\n'</t>
  </si>
  <si>
    <t>SSL handshake thất bại. Server log lỗi SSL, đóng kết nối. Server tiếp tục chạy.</t>
  </si>
  <si>
    <t>TC-49</t>
  </si>
  <si>
    <t>Slow client không block client khác</t>
  </si>
  <si>
    <t>Mỗi client là thread riêng → blocking recv() chỉ block thread đó.</t>
  </si>
  <si>
    <t>1. Kết nối 1 slow client (recv chậm)
2. Ngay lập tức kết nối 1 fast client gửi LIST</t>
  </si>
  <si>
    <t>Fast client nhận phản hồi trong &lt;2 giây, không phải chờ slow client.</t>
  </si>
  <si>
    <t>TC-50</t>
  </si>
  <si>
    <t>Server tắt an toàn khi đang có transfer</t>
  </si>
  <si>
    <t>engine.stop() đặt is_running=False, _unblock_accept() gửi dummy conn, join listener_thread.</t>
  </si>
  <si>
    <t>1. Client đang download file lớn
2. Click Stop Server
3. Kiểm tra process</t>
  </si>
  <si>
    <t>Server tắt hoàn toàn, listener_thread join, không zombie process. Client nhận lỗi kết nối bị đóng.</t>
  </si>
  <si>
    <t>Test Summary</t>
  </si>
  <si>
    <t>Tổng số test case</t>
  </si>
  <si>
    <t>Pass</t>
  </si>
  <si>
    <t>Fail</t>
  </si>
  <si>
    <t>Blocked</t>
  </si>
  <si>
    <t>Trạng thái hợp lệ cho cột Status: Pass | Fail | Blocked | Chưa test</t>
  </si>
  <si>
    <t>pass</t>
  </si>
  <si>
    <t>fail</t>
  </si>
  <si>
    <t>blocked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</si>
</sst>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i/>
      <sz val="9"/>
      <color rgb="FF1A3557"/>
      <name val="Arial"/>
    </font>
    <font>
      <b/>
      <sz val="10"/>
      <color rgb="FFFFFFFF"/>
      <name val="Arial"/>
    </font>
    <font>
      <b/>
      <sz val="9"/>
      <color rgb="FF1A3557"/>
      <name val="Arial"/>
    </font>
    <font>
      <sz val="9"/>
      <color rgb="FF000000"/>
      <name val="Arial"/>
    </font>
    <font>
      <sz val="9"/>
      <color rgb="FF7F6000"/>
      <name val="Arial"/>
    </font>
    <font>
      <b/>
      <sz val="13"/>
      <color rgb="FFFFFFFF"/>
      <name val="Arial"/>
    </font>
    <font>
      <b/>
      <sz val="10"/>
      <color rgb="FF000000"/>
      <name val="Arial"/>
    </font>
    <font>
      <sz val="10"/>
      <color rgb="FF000000"/>
      <name val="Arial"/>
    </font>
    <font>
      <i/>
      <sz val="9"/>
      <color rgb="FF595959"/>
      <name val="Arial"/>
    </font>
  </fonts>
  <fills count="13">
    <fill>
      <patternFill patternType="none"/>
    </fill>
    <fill>
      <patternFill patternType="gray125"/>
    </fill>
    <fill>
      <patternFill patternType="solid">
        <fgColor rgb="FF1A3557"/>
      </patternFill>
    </fill>
    <fill>
      <patternFill patternType="solid">
        <fgColor rgb="FFD6E4F7"/>
      </patternFill>
    </fill>
    <fill>
      <patternFill patternType="solid">
        <fgColor rgb="FF2E75B6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EBF3FB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F8CBAD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left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left" vertical="center" wrapText="1"/>
    </xf>
    <xf numFmtId="0" fontId="9" fillId="11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0" xfId="0"/>
    <xf numFmtId="0" fontId="3" fillId="4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9"/>
  <sheetViews>
    <sheetView workbookViewId="0">
      <pane ySplit="3" topLeftCell="A37" activePane="bottomLeft" state="frozen"/>
      <selection pane="bottomLeft" activeCell="F38" sqref="F38"/>
    </sheetView>
  </sheetViews>
  <sheetFormatPr defaultRowHeight="14.4" x14ac:dyDescent="0.3"/>
  <cols>
    <col min="1" max="1" width="7" customWidth="1"/>
    <col min="2" max="2" width="26" customWidth="1"/>
    <col min="3" max="3" width="38" customWidth="1"/>
    <col min="4" max="5" width="40" customWidth="1"/>
    <col min="6" max="6" width="18" customWidth="1"/>
  </cols>
  <sheetData>
    <row r="1" spans="1:6" ht="34.049999999999997" customHeight="1" x14ac:dyDescent="0.3">
      <c r="A1" s="20" t="s">
        <v>0</v>
      </c>
      <c r="B1" s="18"/>
      <c r="C1" s="18"/>
      <c r="D1" s="18"/>
      <c r="E1" s="18"/>
      <c r="F1" s="18"/>
    </row>
    <row r="2" spans="1:6" ht="16.95" customHeight="1" x14ac:dyDescent="0.3">
      <c r="A2" s="17" t="s">
        <v>1</v>
      </c>
      <c r="B2" s="18"/>
      <c r="C2" s="18"/>
      <c r="D2" s="18"/>
      <c r="E2" s="18"/>
      <c r="F2" s="18"/>
    </row>
    <row r="3" spans="1:6" ht="22.05" customHeight="1" x14ac:dyDescent="0.3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</row>
    <row r="4" spans="1:6" ht="19.95" customHeight="1" x14ac:dyDescent="0.3">
      <c r="A4" s="19" t="s">
        <v>8</v>
      </c>
      <c r="B4" s="18"/>
      <c r="C4" s="18"/>
      <c r="D4" s="18"/>
      <c r="E4" s="18"/>
      <c r="F4" s="18"/>
    </row>
    <row r="5" spans="1:6" ht="79.95" customHeight="1" x14ac:dyDescent="0.3">
      <c r="A5" s="2" t="s">
        <v>9</v>
      </c>
      <c r="B5" s="3" t="s">
        <v>10</v>
      </c>
      <c r="C5" s="3" t="s">
        <v>11</v>
      </c>
      <c r="D5" s="3" t="s">
        <v>12</v>
      </c>
      <c r="E5" s="3" t="s">
        <v>13</v>
      </c>
      <c r="F5" s="4" t="s">
        <v>271</v>
      </c>
    </row>
    <row r="6" spans="1:6" ht="79.95" customHeight="1" x14ac:dyDescent="0.3">
      <c r="A6" s="5" t="s">
        <v>15</v>
      </c>
      <c r="B6" s="6" t="s">
        <v>16</v>
      </c>
      <c r="C6" s="6" t="s">
        <v>17</v>
      </c>
      <c r="D6" s="6" t="s">
        <v>18</v>
      </c>
      <c r="E6" s="6" t="s">
        <v>19</v>
      </c>
      <c r="F6" s="4" t="s">
        <v>271</v>
      </c>
    </row>
    <row r="7" spans="1:6" ht="79.95" customHeight="1" x14ac:dyDescent="0.3">
      <c r="A7" s="2" t="s">
        <v>20</v>
      </c>
      <c r="B7" s="3" t="s">
        <v>21</v>
      </c>
      <c r="C7" s="3" t="s">
        <v>22</v>
      </c>
      <c r="D7" s="3" t="s">
        <v>23</v>
      </c>
      <c r="E7" s="3" t="s">
        <v>24</v>
      </c>
      <c r="F7" s="4" t="s">
        <v>271</v>
      </c>
    </row>
    <row r="8" spans="1:6" ht="79.95" customHeight="1" x14ac:dyDescent="0.3">
      <c r="A8" s="5" t="s">
        <v>25</v>
      </c>
      <c r="B8" s="6" t="s">
        <v>26</v>
      </c>
      <c r="C8" s="6" t="s">
        <v>27</v>
      </c>
      <c r="D8" s="6" t="s">
        <v>28</v>
      </c>
      <c r="E8" s="6" t="s">
        <v>29</v>
      </c>
      <c r="F8" s="4" t="s">
        <v>271</v>
      </c>
    </row>
    <row r="9" spans="1:6" ht="79.95" customHeight="1" x14ac:dyDescent="0.3">
      <c r="A9" s="2" t="s">
        <v>30</v>
      </c>
      <c r="B9" s="3" t="s">
        <v>31</v>
      </c>
      <c r="C9" s="3" t="s">
        <v>32</v>
      </c>
      <c r="D9" s="3" t="s">
        <v>33</v>
      </c>
      <c r="E9" s="3" t="s">
        <v>34</v>
      </c>
      <c r="F9" s="4" t="s">
        <v>271</v>
      </c>
    </row>
    <row r="10" spans="1:6" ht="79.95" customHeight="1" x14ac:dyDescent="0.3">
      <c r="A10" s="5" t="s">
        <v>35</v>
      </c>
      <c r="B10" s="6" t="s">
        <v>36</v>
      </c>
      <c r="C10" s="6" t="s">
        <v>37</v>
      </c>
      <c r="D10" s="6" t="s">
        <v>38</v>
      </c>
      <c r="E10" s="6" t="s">
        <v>39</v>
      </c>
      <c r="F10" s="4" t="s">
        <v>271</v>
      </c>
    </row>
    <row r="11" spans="1:6" ht="79.95" customHeight="1" x14ac:dyDescent="0.3">
      <c r="A11" s="2" t="s">
        <v>40</v>
      </c>
      <c r="B11" s="3" t="s">
        <v>41</v>
      </c>
      <c r="C11" s="3" t="s">
        <v>42</v>
      </c>
      <c r="D11" s="3" t="s">
        <v>43</v>
      </c>
      <c r="E11" s="3" t="s">
        <v>44</v>
      </c>
      <c r="F11" s="4" t="s">
        <v>271</v>
      </c>
    </row>
    <row r="12" spans="1:6" ht="79.95" customHeight="1" x14ac:dyDescent="0.3">
      <c r="A12" s="5" t="s">
        <v>45</v>
      </c>
      <c r="B12" s="6" t="s">
        <v>46</v>
      </c>
      <c r="C12" s="6" t="s">
        <v>47</v>
      </c>
      <c r="D12" s="6" t="s">
        <v>48</v>
      </c>
      <c r="E12" s="6" t="s">
        <v>49</v>
      </c>
      <c r="F12" s="4" t="s">
        <v>271</v>
      </c>
    </row>
    <row r="13" spans="1:6" ht="79.95" customHeight="1" x14ac:dyDescent="0.3">
      <c r="A13" s="2" t="s">
        <v>50</v>
      </c>
      <c r="B13" s="3" t="s">
        <v>51</v>
      </c>
      <c r="C13" s="3" t="s">
        <v>52</v>
      </c>
      <c r="D13" s="3" t="s">
        <v>53</v>
      </c>
      <c r="E13" s="3" t="s">
        <v>54</v>
      </c>
      <c r="F13" s="4" t="s">
        <v>271</v>
      </c>
    </row>
    <row r="14" spans="1:6" ht="79.95" customHeight="1" x14ac:dyDescent="0.3">
      <c r="A14" s="5" t="s">
        <v>55</v>
      </c>
      <c r="B14" s="6" t="s">
        <v>56</v>
      </c>
      <c r="C14" s="6" t="s">
        <v>57</v>
      </c>
      <c r="D14" s="6" t="s">
        <v>58</v>
      </c>
      <c r="E14" s="6" t="s">
        <v>59</v>
      </c>
      <c r="F14" s="4" t="s">
        <v>271</v>
      </c>
    </row>
    <row r="15" spans="1:6" ht="19.95" customHeight="1" x14ac:dyDescent="0.3">
      <c r="A15" s="19" t="s">
        <v>60</v>
      </c>
      <c r="B15" s="18"/>
      <c r="C15" s="18"/>
      <c r="D15" s="18"/>
      <c r="E15" s="18"/>
      <c r="F15" s="18"/>
    </row>
    <row r="16" spans="1:6" ht="79.95" customHeight="1" x14ac:dyDescent="0.3">
      <c r="A16" s="5" t="s">
        <v>61</v>
      </c>
      <c r="B16" s="6" t="s">
        <v>62</v>
      </c>
      <c r="C16" s="6" t="s">
        <v>63</v>
      </c>
      <c r="D16" s="6" t="s">
        <v>64</v>
      </c>
      <c r="E16" s="6" t="s">
        <v>65</v>
      </c>
      <c r="F16" s="4" t="s">
        <v>271</v>
      </c>
    </row>
    <row r="17" spans="1:6" ht="79.95" customHeight="1" x14ac:dyDescent="0.3">
      <c r="A17" s="2" t="s">
        <v>66</v>
      </c>
      <c r="B17" s="3" t="s">
        <v>67</v>
      </c>
      <c r="C17" s="3" t="s">
        <v>68</v>
      </c>
      <c r="D17" s="3" t="s">
        <v>69</v>
      </c>
      <c r="E17" s="3" t="s">
        <v>70</v>
      </c>
      <c r="F17" s="4" t="s">
        <v>271</v>
      </c>
    </row>
    <row r="18" spans="1:6" ht="79.95" customHeight="1" x14ac:dyDescent="0.3">
      <c r="A18" s="5" t="s">
        <v>71</v>
      </c>
      <c r="B18" s="6" t="s">
        <v>72</v>
      </c>
      <c r="C18" s="6" t="s">
        <v>73</v>
      </c>
      <c r="D18" s="6" t="s">
        <v>74</v>
      </c>
      <c r="E18" s="6" t="s">
        <v>75</v>
      </c>
      <c r="F18" s="4" t="s">
        <v>271</v>
      </c>
    </row>
    <row r="19" spans="1:6" ht="79.95" customHeight="1" x14ac:dyDescent="0.3">
      <c r="A19" s="2" t="s">
        <v>76</v>
      </c>
      <c r="B19" s="3" t="s">
        <v>77</v>
      </c>
      <c r="C19" s="3" t="s">
        <v>78</v>
      </c>
      <c r="D19" s="3" t="s">
        <v>79</v>
      </c>
      <c r="E19" s="3" t="s">
        <v>80</v>
      </c>
      <c r="F19" s="4" t="s">
        <v>271</v>
      </c>
    </row>
    <row r="20" spans="1:6" ht="79.95" customHeight="1" x14ac:dyDescent="0.3">
      <c r="A20" s="5" t="s">
        <v>81</v>
      </c>
      <c r="B20" s="6" t="s">
        <v>82</v>
      </c>
      <c r="C20" s="6" t="s">
        <v>83</v>
      </c>
      <c r="D20" s="6" t="s">
        <v>84</v>
      </c>
      <c r="E20" s="6" t="s">
        <v>85</v>
      </c>
      <c r="F20" s="4" t="s">
        <v>14</v>
      </c>
    </row>
    <row r="21" spans="1:6" ht="79.95" customHeight="1" x14ac:dyDescent="0.3">
      <c r="A21" s="2" t="s">
        <v>86</v>
      </c>
      <c r="B21" s="3" t="s">
        <v>87</v>
      </c>
      <c r="C21" s="3" t="s">
        <v>88</v>
      </c>
      <c r="D21" s="3" t="s">
        <v>89</v>
      </c>
      <c r="E21" s="3" t="s">
        <v>90</v>
      </c>
      <c r="F21" s="4" t="s">
        <v>14</v>
      </c>
    </row>
    <row r="22" spans="1:6" ht="79.95" customHeight="1" x14ac:dyDescent="0.3">
      <c r="A22" s="5" t="s">
        <v>91</v>
      </c>
      <c r="B22" s="6" t="s">
        <v>92</v>
      </c>
      <c r="C22" s="6" t="s">
        <v>93</v>
      </c>
      <c r="D22" s="6" t="s">
        <v>94</v>
      </c>
      <c r="E22" s="6" t="s">
        <v>95</v>
      </c>
      <c r="F22" s="4" t="s">
        <v>14</v>
      </c>
    </row>
    <row r="23" spans="1:6" ht="79.95" customHeight="1" x14ac:dyDescent="0.3">
      <c r="A23" s="2" t="s">
        <v>96</v>
      </c>
      <c r="B23" s="3" t="s">
        <v>97</v>
      </c>
      <c r="C23" s="3" t="s">
        <v>98</v>
      </c>
      <c r="D23" s="3" t="s">
        <v>99</v>
      </c>
      <c r="E23" s="3" t="s">
        <v>100</v>
      </c>
      <c r="F23" s="4" t="s">
        <v>14</v>
      </c>
    </row>
    <row r="24" spans="1:6" ht="79.95" customHeight="1" x14ac:dyDescent="0.3">
      <c r="A24" s="5" t="s">
        <v>101</v>
      </c>
      <c r="B24" s="6" t="s">
        <v>102</v>
      </c>
      <c r="C24" s="6" t="s">
        <v>103</v>
      </c>
      <c r="D24" s="6" t="s">
        <v>104</v>
      </c>
      <c r="E24" s="6" t="s">
        <v>105</v>
      </c>
      <c r="F24" s="4" t="s">
        <v>271</v>
      </c>
    </row>
    <row r="25" spans="1:6" ht="79.95" customHeight="1" x14ac:dyDescent="0.3">
      <c r="A25" s="2" t="s">
        <v>106</v>
      </c>
      <c r="B25" s="3" t="s">
        <v>107</v>
      </c>
      <c r="C25" s="3" t="s">
        <v>108</v>
      </c>
      <c r="D25" s="3" t="s">
        <v>109</v>
      </c>
      <c r="E25" s="3" t="s">
        <v>110</v>
      </c>
      <c r="F25" s="4" t="s">
        <v>271</v>
      </c>
    </row>
    <row r="26" spans="1:6" ht="79.95" customHeight="1" x14ac:dyDescent="0.3">
      <c r="A26" s="5" t="s">
        <v>111</v>
      </c>
      <c r="B26" s="6" t="s">
        <v>112</v>
      </c>
      <c r="C26" s="6" t="s">
        <v>113</v>
      </c>
      <c r="D26" s="6" t="s">
        <v>114</v>
      </c>
      <c r="E26" s="6" t="s">
        <v>115</v>
      </c>
      <c r="F26" s="4" t="s">
        <v>14</v>
      </c>
    </row>
    <row r="27" spans="1:6" ht="19.95" customHeight="1" x14ac:dyDescent="0.3">
      <c r="A27" s="19" t="s">
        <v>116</v>
      </c>
      <c r="B27" s="18"/>
      <c r="C27" s="18"/>
      <c r="D27" s="18"/>
      <c r="E27" s="18"/>
      <c r="F27" s="18"/>
    </row>
    <row r="28" spans="1:6" ht="79.95" customHeight="1" x14ac:dyDescent="0.3">
      <c r="A28" s="5" t="s">
        <v>117</v>
      </c>
      <c r="B28" s="6" t="s">
        <v>118</v>
      </c>
      <c r="C28" s="6" t="s">
        <v>119</v>
      </c>
      <c r="D28" s="6" t="s">
        <v>120</v>
      </c>
      <c r="E28" s="6" t="s">
        <v>121</v>
      </c>
      <c r="F28" s="4" t="s">
        <v>271</v>
      </c>
    </row>
    <row r="29" spans="1:6" ht="79.95" customHeight="1" x14ac:dyDescent="0.3">
      <c r="A29" s="2" t="s">
        <v>122</v>
      </c>
      <c r="B29" s="3" t="s">
        <v>123</v>
      </c>
      <c r="C29" s="3" t="s">
        <v>124</v>
      </c>
      <c r="D29" s="3" t="s">
        <v>125</v>
      </c>
      <c r="E29" s="3" t="s">
        <v>126</v>
      </c>
      <c r="F29" s="4" t="s">
        <v>271</v>
      </c>
    </row>
    <row r="30" spans="1:6" ht="79.95" customHeight="1" x14ac:dyDescent="0.3">
      <c r="A30" s="5" t="s">
        <v>127</v>
      </c>
      <c r="B30" s="6" t="s">
        <v>128</v>
      </c>
      <c r="C30" s="6" t="s">
        <v>129</v>
      </c>
      <c r="D30" s="6" t="s">
        <v>130</v>
      </c>
      <c r="E30" s="6" t="s">
        <v>131</v>
      </c>
      <c r="F30" s="4" t="s">
        <v>272</v>
      </c>
    </row>
    <row r="31" spans="1:6" ht="79.95" customHeight="1" x14ac:dyDescent="0.3">
      <c r="A31" s="2" t="s">
        <v>132</v>
      </c>
      <c r="B31" s="3" t="s">
        <v>133</v>
      </c>
      <c r="C31" s="3" t="s">
        <v>134</v>
      </c>
      <c r="D31" s="3" t="s">
        <v>135</v>
      </c>
      <c r="E31" s="3" t="s">
        <v>136</v>
      </c>
      <c r="F31" s="4" t="s">
        <v>271</v>
      </c>
    </row>
    <row r="32" spans="1:6" ht="19.95" customHeight="1" x14ac:dyDescent="0.3">
      <c r="A32" s="19" t="s">
        <v>137</v>
      </c>
      <c r="B32" s="18"/>
      <c r="C32" s="18"/>
      <c r="D32" s="18"/>
      <c r="E32" s="18"/>
      <c r="F32" s="18"/>
    </row>
    <row r="33" spans="1:6" ht="79.95" customHeight="1" x14ac:dyDescent="0.3">
      <c r="A33" s="2" t="s">
        <v>138</v>
      </c>
      <c r="B33" s="3" t="s">
        <v>139</v>
      </c>
      <c r="C33" s="3" t="s">
        <v>140</v>
      </c>
      <c r="D33" s="3" t="s">
        <v>141</v>
      </c>
      <c r="E33" s="3" t="s">
        <v>142</v>
      </c>
      <c r="F33" s="4" t="s">
        <v>271</v>
      </c>
    </row>
    <row r="34" spans="1:6" ht="79.95" customHeight="1" x14ac:dyDescent="0.3">
      <c r="A34" s="5" t="s">
        <v>143</v>
      </c>
      <c r="B34" s="6" t="s">
        <v>144</v>
      </c>
      <c r="C34" s="6" t="s">
        <v>145</v>
      </c>
      <c r="D34" s="6" t="s">
        <v>146</v>
      </c>
      <c r="E34" s="6" t="s">
        <v>147</v>
      </c>
      <c r="F34" s="4" t="s">
        <v>271</v>
      </c>
    </row>
    <row r="35" spans="1:6" ht="79.95" customHeight="1" x14ac:dyDescent="0.3">
      <c r="A35" s="2" t="s">
        <v>148</v>
      </c>
      <c r="B35" s="3" t="s">
        <v>149</v>
      </c>
      <c r="C35" s="3" t="s">
        <v>150</v>
      </c>
      <c r="D35" s="3" t="s">
        <v>151</v>
      </c>
      <c r="E35" s="3" t="s">
        <v>152</v>
      </c>
      <c r="F35" s="4" t="s">
        <v>14</v>
      </c>
    </row>
    <row r="36" spans="1:6" ht="79.95" customHeight="1" x14ac:dyDescent="0.3">
      <c r="A36" s="5" t="s">
        <v>153</v>
      </c>
      <c r="B36" s="6" t="s">
        <v>154</v>
      </c>
      <c r="C36" s="6" t="s">
        <v>155</v>
      </c>
      <c r="D36" s="6" t="s">
        <v>156</v>
      </c>
      <c r="E36" s="6" t="s">
        <v>157</v>
      </c>
      <c r="F36" s="4" t="s">
        <v>271</v>
      </c>
    </row>
    <row r="37" spans="1:6" ht="79.95" customHeight="1" x14ac:dyDescent="0.3">
      <c r="A37" s="2" t="s">
        <v>158</v>
      </c>
      <c r="B37" s="3" t="s">
        <v>159</v>
      </c>
      <c r="C37" s="3" t="s">
        <v>160</v>
      </c>
      <c r="D37" s="3" t="s">
        <v>161</v>
      </c>
      <c r="E37" s="3" t="s">
        <v>162</v>
      </c>
      <c r="F37" s="4" t="s">
        <v>273</v>
      </c>
    </row>
    <row r="38" spans="1:6" ht="79.95" customHeight="1" x14ac:dyDescent="0.3">
      <c r="A38" s="5" t="s">
        <v>163</v>
      </c>
      <c r="B38" s="6" t="s">
        <v>164</v>
      </c>
      <c r="C38" s="6" t="s">
        <v>165</v>
      </c>
      <c r="D38" s="6" t="s">
        <v>166</v>
      </c>
      <c r="E38" s="6" t="s">
        <v>167</v>
      </c>
      <c r="F38" s="4" t="s">
        <v>273</v>
      </c>
    </row>
    <row r="39" spans="1:6" ht="79.95" customHeight="1" x14ac:dyDescent="0.3">
      <c r="A39" s="2" t="s">
        <v>168</v>
      </c>
      <c r="B39" s="3" t="s">
        <v>169</v>
      </c>
      <c r="C39" s="3" t="s">
        <v>170</v>
      </c>
      <c r="D39" s="3" t="s">
        <v>171</v>
      </c>
      <c r="E39" s="3" t="s">
        <v>172</v>
      </c>
      <c r="F39" s="4" t="s">
        <v>273</v>
      </c>
    </row>
    <row r="40" spans="1:6" ht="79.95" customHeight="1" x14ac:dyDescent="0.3">
      <c r="A40" s="5" t="s">
        <v>173</v>
      </c>
      <c r="B40" s="6" t="s">
        <v>174</v>
      </c>
      <c r="C40" s="6" t="s">
        <v>175</v>
      </c>
      <c r="D40" s="6" t="s">
        <v>176</v>
      </c>
      <c r="E40" s="6" t="s">
        <v>177</v>
      </c>
      <c r="F40" s="4" t="s">
        <v>271</v>
      </c>
    </row>
    <row r="41" spans="1:6" ht="79.95" customHeight="1" x14ac:dyDescent="0.3">
      <c r="A41" s="2" t="s">
        <v>178</v>
      </c>
      <c r="B41" s="3" t="s">
        <v>179</v>
      </c>
      <c r="C41" s="3" t="s">
        <v>180</v>
      </c>
      <c r="D41" s="3" t="s">
        <v>181</v>
      </c>
      <c r="E41" s="3" t="s">
        <v>182</v>
      </c>
      <c r="F41" s="4" t="s">
        <v>271</v>
      </c>
    </row>
    <row r="42" spans="1:6" ht="79.95" customHeight="1" x14ac:dyDescent="0.3">
      <c r="A42" s="5" t="s">
        <v>183</v>
      </c>
      <c r="B42" s="6" t="s">
        <v>184</v>
      </c>
      <c r="C42" s="6" t="s">
        <v>185</v>
      </c>
      <c r="D42" s="6" t="s">
        <v>186</v>
      </c>
      <c r="E42" s="6" t="s">
        <v>187</v>
      </c>
      <c r="F42" s="4" t="s">
        <v>271</v>
      </c>
    </row>
    <row r="43" spans="1:6" ht="19.95" customHeight="1" x14ac:dyDescent="0.3">
      <c r="A43" s="19" t="s">
        <v>188</v>
      </c>
      <c r="B43" s="18"/>
      <c r="C43" s="18"/>
      <c r="D43" s="18"/>
      <c r="E43" s="18"/>
      <c r="F43" s="18"/>
    </row>
    <row r="44" spans="1:6" ht="79.95" customHeight="1" x14ac:dyDescent="0.3">
      <c r="A44" s="5" t="s">
        <v>189</v>
      </c>
      <c r="B44" s="6" t="s">
        <v>190</v>
      </c>
      <c r="C44" s="6" t="s">
        <v>191</v>
      </c>
      <c r="D44" s="6" t="s">
        <v>192</v>
      </c>
      <c r="E44" s="6" t="s">
        <v>193</v>
      </c>
      <c r="F44" s="4" t="s">
        <v>14</v>
      </c>
    </row>
    <row r="45" spans="1:6" ht="79.95" customHeight="1" x14ac:dyDescent="0.3">
      <c r="A45" s="2" t="s">
        <v>194</v>
      </c>
      <c r="B45" s="3" t="s">
        <v>195</v>
      </c>
      <c r="C45" s="3" t="s">
        <v>196</v>
      </c>
      <c r="D45" s="3" t="s">
        <v>197</v>
      </c>
      <c r="E45" s="3" t="s">
        <v>198</v>
      </c>
      <c r="F45" s="4" t="s">
        <v>14</v>
      </c>
    </row>
    <row r="46" spans="1:6" ht="79.95" customHeight="1" x14ac:dyDescent="0.3">
      <c r="A46" s="5" t="s">
        <v>199</v>
      </c>
      <c r="B46" s="6" t="s">
        <v>200</v>
      </c>
      <c r="C46" s="6" t="s">
        <v>201</v>
      </c>
      <c r="D46" s="6" t="s">
        <v>202</v>
      </c>
      <c r="E46" s="6" t="s">
        <v>203</v>
      </c>
      <c r="F46" s="4" t="s">
        <v>14</v>
      </c>
    </row>
    <row r="47" spans="1:6" ht="79.95" customHeight="1" x14ac:dyDescent="0.3">
      <c r="A47" s="2" t="s">
        <v>204</v>
      </c>
      <c r="B47" s="3" t="s">
        <v>205</v>
      </c>
      <c r="C47" s="3" t="s">
        <v>206</v>
      </c>
      <c r="D47" s="3" t="s">
        <v>207</v>
      </c>
      <c r="E47" s="3" t="s">
        <v>208</v>
      </c>
      <c r="F47" s="4" t="s">
        <v>14</v>
      </c>
    </row>
    <row r="48" spans="1:6" ht="79.95" customHeight="1" x14ac:dyDescent="0.3">
      <c r="A48" s="5" t="s">
        <v>209</v>
      </c>
      <c r="B48" s="6" t="s">
        <v>210</v>
      </c>
      <c r="C48" s="6" t="s">
        <v>211</v>
      </c>
      <c r="D48" s="6" t="s">
        <v>212</v>
      </c>
      <c r="E48" s="6" t="s">
        <v>213</v>
      </c>
      <c r="F48" s="4" t="s">
        <v>14</v>
      </c>
    </row>
    <row r="49" spans="1:6" ht="79.95" customHeight="1" x14ac:dyDescent="0.3">
      <c r="A49" s="2" t="s">
        <v>214</v>
      </c>
      <c r="B49" s="3" t="s">
        <v>215</v>
      </c>
      <c r="C49" s="3" t="s">
        <v>216</v>
      </c>
      <c r="D49" s="3" t="s">
        <v>217</v>
      </c>
      <c r="E49" s="3" t="s">
        <v>218</v>
      </c>
      <c r="F49" s="4" t="s">
        <v>14</v>
      </c>
    </row>
    <row r="50" spans="1:6" ht="79.95" customHeight="1" x14ac:dyDescent="0.3">
      <c r="A50" s="5" t="s">
        <v>219</v>
      </c>
      <c r="B50" s="6" t="s">
        <v>220</v>
      </c>
      <c r="C50" s="6" t="s">
        <v>221</v>
      </c>
      <c r="D50" s="6" t="s">
        <v>222</v>
      </c>
      <c r="E50" s="6" t="s">
        <v>223</v>
      </c>
      <c r="F50" s="4" t="s">
        <v>14</v>
      </c>
    </row>
    <row r="51" spans="1:6" ht="79.95" customHeight="1" x14ac:dyDescent="0.3">
      <c r="A51" s="2" t="s">
        <v>224</v>
      </c>
      <c r="B51" s="3" t="s">
        <v>225</v>
      </c>
      <c r="C51" s="3" t="s">
        <v>226</v>
      </c>
      <c r="D51" s="3" t="s">
        <v>227</v>
      </c>
      <c r="E51" s="3" t="s">
        <v>228</v>
      </c>
      <c r="F51" s="4" t="s">
        <v>14</v>
      </c>
    </row>
    <row r="52" spans="1:6" ht="79.95" customHeight="1" x14ac:dyDescent="0.3">
      <c r="A52" s="5" t="s">
        <v>229</v>
      </c>
      <c r="B52" s="6" t="s">
        <v>230</v>
      </c>
      <c r="C52" s="6" t="s">
        <v>231</v>
      </c>
      <c r="D52" s="6" t="s">
        <v>232</v>
      </c>
      <c r="E52" s="6" t="s">
        <v>233</v>
      </c>
      <c r="F52" s="4" t="s">
        <v>14</v>
      </c>
    </row>
    <row r="53" spans="1:6" ht="79.95" customHeight="1" x14ac:dyDescent="0.3">
      <c r="A53" s="2" t="s">
        <v>234</v>
      </c>
      <c r="B53" s="3" t="s">
        <v>235</v>
      </c>
      <c r="C53" s="3" t="s">
        <v>236</v>
      </c>
      <c r="D53" s="3" t="s">
        <v>237</v>
      </c>
      <c r="E53" s="3" t="s">
        <v>238</v>
      </c>
      <c r="F53" s="4" t="s">
        <v>14</v>
      </c>
    </row>
    <row r="54" spans="1:6" ht="19.95" customHeight="1" x14ac:dyDescent="0.3">
      <c r="A54" s="19" t="s">
        <v>239</v>
      </c>
      <c r="B54" s="18"/>
      <c r="C54" s="18"/>
      <c r="D54" s="18"/>
      <c r="E54" s="18"/>
      <c r="F54" s="18"/>
    </row>
    <row r="55" spans="1:6" ht="79.95" customHeight="1" x14ac:dyDescent="0.3">
      <c r="A55" s="2" t="s">
        <v>240</v>
      </c>
      <c r="B55" s="3" t="s">
        <v>241</v>
      </c>
      <c r="C55" s="3" t="s">
        <v>242</v>
      </c>
      <c r="D55" s="3" t="s">
        <v>243</v>
      </c>
      <c r="E55" s="3" t="s">
        <v>244</v>
      </c>
      <c r="F55" s="4" t="s">
        <v>14</v>
      </c>
    </row>
    <row r="56" spans="1:6" ht="79.95" customHeight="1" x14ac:dyDescent="0.3">
      <c r="A56" s="5" t="s">
        <v>245</v>
      </c>
      <c r="B56" s="6" t="s">
        <v>246</v>
      </c>
      <c r="C56" s="6" t="s">
        <v>247</v>
      </c>
      <c r="D56" s="6" t="s">
        <v>248</v>
      </c>
      <c r="E56" s="6" t="s">
        <v>249</v>
      </c>
      <c r="F56" s="4" t="s">
        <v>14</v>
      </c>
    </row>
    <row r="57" spans="1:6" ht="79.95" customHeight="1" x14ac:dyDescent="0.3">
      <c r="A57" s="2" t="s">
        <v>250</v>
      </c>
      <c r="B57" s="3" t="s">
        <v>251</v>
      </c>
      <c r="C57" s="3" t="s">
        <v>252</v>
      </c>
      <c r="D57" s="3" t="s">
        <v>253</v>
      </c>
      <c r="E57" s="3" t="s">
        <v>254</v>
      </c>
      <c r="F57" s="4" t="s">
        <v>14</v>
      </c>
    </row>
    <row r="58" spans="1:6" ht="79.95" customHeight="1" x14ac:dyDescent="0.3">
      <c r="A58" s="5" t="s">
        <v>255</v>
      </c>
      <c r="B58" s="6" t="s">
        <v>256</v>
      </c>
      <c r="C58" s="6" t="s">
        <v>257</v>
      </c>
      <c r="D58" s="6" t="s">
        <v>258</v>
      </c>
      <c r="E58" s="6" t="s">
        <v>259</v>
      </c>
      <c r="F58" s="4" t="s">
        <v>14</v>
      </c>
    </row>
    <row r="59" spans="1:6" ht="79.95" customHeight="1" x14ac:dyDescent="0.3">
      <c r="A59" s="2" t="s">
        <v>260</v>
      </c>
      <c r="B59" s="3" t="s">
        <v>261</v>
      </c>
      <c r="C59" s="3" t="s">
        <v>262</v>
      </c>
      <c r="D59" s="3" t="s">
        <v>263</v>
      </c>
      <c r="E59" s="3" t="s">
        <v>264</v>
      </c>
      <c r="F59" s="4" t="s">
        <v>14</v>
      </c>
    </row>
  </sheetData>
  <autoFilter ref="A3:F59" xr:uid="{00000000-0009-0000-0000-000000000000}"/>
  <mergeCells count="8">
    <mergeCell ref="A2:F2"/>
    <mergeCell ref="A54:F54"/>
    <mergeCell ref="A1:F1"/>
    <mergeCell ref="A32:F32"/>
    <mergeCell ref="A27:F27"/>
    <mergeCell ref="A4:F4"/>
    <mergeCell ref="A15:F15"/>
    <mergeCell ref="A43:F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tabSelected="1" workbookViewId="0">
      <selection sqref="A1:B1"/>
    </sheetView>
  </sheetViews>
  <sheetFormatPr defaultRowHeight="14.4" x14ac:dyDescent="0.3"/>
  <cols>
    <col min="1" max="1" width="30" customWidth="1"/>
    <col min="2" max="2" width="16" customWidth="1"/>
  </cols>
  <sheetData>
    <row r="1" spans="1:2" ht="30" customHeight="1" x14ac:dyDescent="0.3">
      <c r="A1" s="22" t="s">
        <v>265</v>
      </c>
      <c r="B1" s="18"/>
    </row>
    <row r="2" spans="1:2" ht="22.05" customHeight="1" x14ac:dyDescent="0.3">
      <c r="A2" s="7" t="s">
        <v>266</v>
      </c>
      <c r="B2" s="8">
        <v>50</v>
      </c>
    </row>
    <row r="3" spans="1:2" ht="22.05" customHeight="1" x14ac:dyDescent="0.3">
      <c r="A3" s="9" t="s">
        <v>14</v>
      </c>
      <c r="B3" s="10">
        <f>COUNTIF('Test Cases'!F4:F200,"Chưa test")</f>
        <v>21</v>
      </c>
    </row>
    <row r="4" spans="1:2" ht="22.05" customHeight="1" x14ac:dyDescent="0.3">
      <c r="A4" s="11" t="s">
        <v>267</v>
      </c>
      <c r="B4" s="12">
        <f>COUNTIF('Test Cases'!F4:F200,"Pass")</f>
        <v>25</v>
      </c>
    </row>
    <row r="5" spans="1:2" ht="22.05" customHeight="1" x14ac:dyDescent="0.3">
      <c r="A5" s="13" t="s">
        <v>268</v>
      </c>
      <c r="B5" s="14">
        <f>COUNTIF('Test Cases'!F4:F200,"Fail")</f>
        <v>1</v>
      </c>
    </row>
    <row r="6" spans="1:2" ht="22.05" customHeight="1" x14ac:dyDescent="0.3">
      <c r="A6" s="15" t="s">
        <v>269</v>
      </c>
      <c r="B6" s="16">
        <f>COUNTIF('Test Cases'!F4:F200,"Blocked")</f>
        <v>3</v>
      </c>
    </row>
    <row r="8" spans="1:2" ht="18" customHeight="1" x14ac:dyDescent="0.3">
      <c r="A8" s="21" t="s">
        <v>270</v>
      </c>
      <c r="B8" s="18"/>
    </row>
  </sheetData>
  <mergeCells count="2">
    <mergeCell ref="A8:B8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Cases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THU HƯƠNG</cp:lastModifiedBy>
  <dcterms:created xsi:type="dcterms:W3CDTF">2026-06-20T14:23:45Z</dcterms:created>
  <dcterms:modified xsi:type="dcterms:W3CDTF">2026-06-22T05:56:19Z</dcterms:modified>
</cp:coreProperties>
</file>